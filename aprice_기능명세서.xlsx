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95834a1ed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3edccee07e66484a"/>
    <x:sheet xmlns:r="http://schemas.openxmlformats.org/officeDocument/2006/relationships" name="전체 기능" sheetId="2" r:id="R24053cb24e02488e"/>
    <x:sheet xmlns:r="http://schemas.openxmlformats.org/officeDocument/2006/relationships" name="상세 명세" sheetId="3" r:id="R8057409ba14440c7"/>
    <x:sheet xmlns:r="http://schemas.openxmlformats.org/officeDocument/2006/relationships" name="스프린트 계획" sheetId="4" r:id="Rbf8725d45f5343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&quot;일&quot;"/>
    <x:numFmt numFmtId="202" formatCode="0&quot;개&quot;"/>
    <x:numFmt numFmtId="203" formatCode="0%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13D"/>
      <x:name val="Carlito"/>
    </x:font>
    <x:font>
      <x:b/>
      <x:sz val="11"/>
      <x:color rgb="FFFFFFFF"/>
      <x:name val="Carlito"/>
    </x:font>
    <x:font>
      <x:b/>
      <x:sz val="20"/>
      <x:color rgb="FF17324D"/>
      <x:name val="Carlito"/>
    </x:font>
    <x:font>
      <x:b/>
      <x:sz val="11"/>
      <x:color rgb="FF17324D"/>
      <x:name val="Carlito"/>
    </x:font>
    <x:font>
      <x:b/>
      <x:sz val="11"/>
      <x:color rgb="FFFFFFFF"/>
      <x:name val="Aptos"/>
    </x:font>
    <x:font>
      <x:b/>
      <x:sz val="20"/>
      <x:color rgb="FF17324D"/>
      <x:name val="Aptos"/>
    </x:font>
    <x:font>
      <x:sz val="11"/>
      <x:name val="Aptos"/>
    </x:font>
    <x:font>
      <x:b/>
      <x:sz val="11"/>
      <x:color rgb="FF17324D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7F0FA"/>
      </x:patternFill>
    </x:fill>
    <x:fill>
      <x:patternFill patternType="solid">
        <x:fgColor rgb="FF147D7E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  <x:fill>
      <x:patternFill patternType="solid">
        <x:fgColor rgb="FFDDF3EE"/>
      </x:patternFill>
    </x:fill>
  </x:fills>
  <x:borders count="16">
    <x:border/>
    <x:border>
      <x:left style="thin">
        <x:color rgb="FF147D7E"/>
      </x:left>
      <x:top style="thin">
        <x:color rgb="FF147D7E"/>
      </x:top>
      <x:bottom style="thin">
        <x:color rgb="FF147D7E"/>
      </x:bottom>
    </x:border>
    <x:border>
      <x:top style="thin">
        <x:color rgb="FF147D7E"/>
      </x:top>
      <x:bottom style="thin">
        <x:color rgb="FF147D7E"/>
      </x:bottom>
    </x:border>
    <x:border>
      <x:right style="thin">
        <x:color rgb="FF147D7E"/>
      </x:right>
      <x:top style="thin">
        <x:color rgb="FF147D7E"/>
      </x:top>
      <x:bottom style="thin">
        <x:color rgb="FF147D7E"/>
      </x:bottom>
    </x:border>
    <x:border>
      <x:right style="thin">
        <x:color rgb="FFD7DEE5"/>
      </x:right>
    </x:border>
    <x:border>
      <x:left style="thin">
        <x:color rgb="FFD7DEE5"/>
      </x:left>
      <x:right style="thin">
        <x:color rgb="FFD7DEE5"/>
      </x:right>
    </x:border>
    <x:border>
      <x:left style="thin">
        <x:color rgb="FFD7DEE5"/>
      </x:left>
    </x:border>
    <x:border>
      <x:left style="thin">
        <x:color rgb="FFD7DEE5"/>
      </x:left>
      <x:top style="thin">
        <x:color rgb="FFD7DEE5"/>
      </x:top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</x:border>
  </x:borders>
  <x:cellStyleXfs count="1">
    <x:xf numFmtId="0" fontId="0" fillId="0" borderId="0"/>
  </x:cellStyleXfs>
  <x:cellXfs count="1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201" fontId="0" fillId="0" borderId="5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4" fillId="5" borderId="10" xfId="0" applyNumberFormat="1" applyFont="1" applyFill="1" applyBorder="1" applyAlignment="1">
      <x:alignment horizontal="center" vertical="center"/>
    </x:xf>
    <x:xf numFmtId="202" fontId="4" fillId="5" borderId="7" xfId="0" applyNumberFormat="1" applyFont="1" applyFill="1" applyBorder="1" applyAlignment="1">
      <x:alignment horizontal="center" vertical="center"/>
    </x:xf>
    <x:xf numFmtId="201" fontId="4" fillId="5" borderId="7" xfId="0" applyNumberFormat="1" applyFont="1" applyFill="1" applyBorder="1" applyAlignment="1">
      <x:alignment horizontal="center" vertical="center"/>
    </x:xf>
    <x:xf numFmtId="203" fontId="4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9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8" xfId="0" applyNumberFormat="1" applyFont="1" applyFill="1" applyBorder="1"/>
    <x:xf numFmtId="0" fontId="0" fillId="6" borderId="15" xfId="0" applyNumberFormat="1" applyFont="1" applyFill="1" applyBorder="1"/>
    <x:xf numFmtId="0" fontId="0" fillId="6" borderId="7" xfId="0" applyNumberFormat="1" applyFont="1" applyFill="1" applyBorder="1"/>
    <x:xf numFmtId="0" fontId="0" fillId="6" borderId="10" xfId="0" applyNumberFormat="1" applyFont="1" applyFill="1" applyBorder="1" applyAlignment="1">
      <x:alignment vertical="center"/>
    </x:xf>
    <x:xf numFmtId="0" fontId="0" fillId="6" borderId="11" xfId="0" applyNumberFormat="1" applyFont="1" applyFill="1" applyBorder="1" applyAlignment="1">
      <x:alignment vertical="center"/>
    </x:xf>
    <x:xf numFmtId="0" fontId="0" fillId="6" borderId="9" xfId="0" applyNumberFormat="1" applyFont="1" applyFill="1" applyBorder="1" applyAlignment="1">
      <x:alignment vertical="center"/>
    </x:xf>
    <x:xf numFmtId="0" fontId="0" fillId="6" borderId="12" xfId="0" applyNumberFormat="1" applyFont="1" applyFill="1" applyBorder="1" applyAlignment="1">
      <x:alignment vertical="center"/>
    </x:xf>
    <x:xf numFmtId="0" fontId="0" fillId="6" borderId="13" xfId="0" applyNumberFormat="1" applyFont="1" applyFill="1" applyBorder="1" applyAlignment="1">
      <x:alignment vertical="center"/>
    </x:xf>
    <x:xf numFmtId="0" fontId="0" fillId="6" borderId="14" xfId="0" applyNumberFormat="1" applyFont="1" applyFill="1" applyBorder="1" applyAlignment="1">
      <x:alignment vertical="center"/>
    </x:xf>
    <x:xf numFmtId="0" fontId="0" fillId="6" borderId="8" xfId="0" applyNumberFormat="1" applyFont="1" applyFill="1" applyBorder="1" applyAlignment="1">
      <x:alignment vertical="center"/>
    </x:xf>
    <x:xf numFmtId="0" fontId="0" fillId="6" borderId="15" xfId="0" applyNumberFormat="1" applyFont="1" applyFill="1" applyBorder="1" applyAlignment="1">
      <x:alignment vertical="center"/>
    </x:xf>
    <x:xf numFmtId="0" fontId="0" fillId="6" borderId="7" xfId="0" applyNumberFormat="1" applyFont="1" applyFill="1" applyBorder="1" applyAlignment="1">
      <x:alignment vertical="center"/>
    </x:xf>
    <x:xf numFmtId="0" fontId="0" fillId="6" borderId="11" xfId="0" applyNumberFormat="1" applyFont="1" applyFill="1" applyBorder="1" applyAlignment="1">
      <x:alignment horizontal="center" vertical="center"/>
    </x:xf>
    <x:xf numFmtId="0" fontId="0" fillId="6" borderId="13" xfId="0" applyNumberFormat="1" applyFont="1" applyFill="1" applyBorder="1" applyAlignment="1">
      <x:alignment horizontal="center" vertical="center"/>
    </x:xf>
    <x:xf numFmtId="0" fontId="0" fillId="6" borderId="15" xfId="0" applyNumberFormat="1" applyFont="1" applyFill="1" applyBorder="1" applyAlignment="1">
      <x:alignment horizontal="center" vertical="center"/>
    </x:xf>
    <x:xf numFmtId="202" fontId="0" fillId="6" borderId="11" xfId="0" applyNumberFormat="1" applyFont="1" applyFill="1" applyBorder="1" applyAlignment="1">
      <x:alignment horizontal="center" vertical="center"/>
    </x:xf>
    <x:xf numFmtId="202" fontId="0" fillId="6" borderId="13" xfId="0" applyNumberFormat="1" applyFont="1" applyFill="1" applyBorder="1" applyAlignment="1">
      <x:alignment horizontal="center" vertical="center"/>
    </x:xf>
    <x:xf numFmtId="202" fontId="0" fillId="6" borderId="15" xfId="0" applyNumberFormat="1" applyFont="1" applyFill="1" applyBorder="1" applyAlignment="1">
      <x:alignment horizontal="center" vertical="center"/>
    </x:xf>
    <x:xf numFmtId="201" fontId="0" fillId="6" borderId="11" xfId="0" applyNumberFormat="1" applyFont="1" applyFill="1" applyBorder="1" applyAlignment="1">
      <x:alignment horizontal="center" vertical="center"/>
    </x:xf>
    <x:xf numFmtId="201" fontId="0" fillId="6" borderId="13" xfId="0" applyNumberFormat="1" applyFont="1" applyFill="1" applyBorder="1" applyAlignment="1">
      <x:alignment horizontal="center" vertical="center"/>
    </x:xf>
    <x:xf numFmtId="201" fontId="0" fillId="6" borderId="1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9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8" xfId="0" applyNumberFormat="1" applyFont="1" applyFill="1" applyBorder="1"/>
    <x:xf numFmtId="0" fontId="0" fillId="7" borderId="15" xfId="0" applyNumberFormat="1" applyFont="1" applyFill="1" applyBorder="1"/>
    <x:xf numFmtId="0" fontId="0" fillId="7" borderId="7" xfId="0" applyNumberFormat="1" applyFont="1" applyFill="1" applyBorder="1"/>
    <x:xf numFmtId="0" fontId="0" fillId="7" borderId="10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0" fontId="0" fillId="7" borderId="9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0" fontId="0" fillId="7" borderId="13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7" borderId="8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0" fontId="0" fillId="7" borderId="7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2" xfId="0" applyNumberFormat="1" applyFont="1" applyFill="1" applyBorder="1"/>
    <x:xf numFmtId="0" fontId="5" fillId="8" borderId="3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8" borderId="2" xfId="0" applyNumberFormat="1" applyFont="1" applyFill="1" applyBorder="1" applyAlignment="1">
      <x:alignment horizontal="center" wrapText="1"/>
    </x:xf>
    <x:xf numFmtId="0" fontId="5" fillId="8" borderId="3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/>
    </x:xf>
    <x:xf numFmtId="202" fontId="7" fillId="5" borderId="7" xfId="0" applyNumberFormat="1" applyFont="1" applyFill="1" applyBorder="1" applyAlignment="1">
      <x:alignment horizontal="center" vertical="center"/>
    </x:xf>
    <x:xf numFmtId="0" fontId="7" fillId="5" borderId="8" xfId="0" applyNumberFormat="1" applyFont="1" applyFill="1" applyBorder="1" applyAlignment="1">
      <x:alignment horizontal="center" vertical="center"/>
    </x:xf>
    <x:xf numFmtId="201" fontId="7" fillId="5" borderId="7" xfId="0" applyNumberFormat="1" applyFont="1" applyFill="1" applyBorder="1" applyAlignment="1">
      <x:alignment horizontal="center" vertical="center"/>
    </x:xf>
    <x:xf numFmtId="203" fontId="7" fillId="5" borderId="7" xfId="0" applyNumberFormat="1" applyFont="1" applyFill="1" applyBorder="1" applyAlignment="1">
      <x:alignment horizontal="center" vertical="center"/>
    </x:xf>
    <x:xf numFmtId="0" fontId="7" fillId="5" borderId="9" xfId="0" applyNumberFormat="1" applyFont="1" applyFill="1" applyBorder="1" applyAlignment="1">
      <x:alignment horizontal="center" vertical="center"/>
    </x:xf>
    <x:xf numFmtId="0" fontId="7" fillId="5" borderId="1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8" fillId="6" borderId="10" xfId="0" applyNumberFormat="1" applyFont="1" applyFill="1" applyBorder="1" applyAlignment="1">
      <x:alignment vertical="center"/>
    </x:xf>
    <x:xf numFmtId="202" fontId="8" fillId="6" borderId="11" xfId="0" applyNumberFormat="1" applyFont="1" applyFill="1" applyBorder="1" applyAlignment="1">
      <x:alignment horizontal="center" vertical="center"/>
    </x:xf>
    <x:xf numFmtId="201" fontId="8" fillId="6" borderId="11" xfId="0" applyNumberFormat="1" applyFont="1" applyFill="1" applyBorder="1" applyAlignment="1">
      <x:alignment horizontal="center" vertical="center"/>
    </x:xf>
    <x:xf numFmtId="0" fontId="8" fillId="6" borderId="9" xfId="0" applyNumberFormat="1" applyFont="1" applyFill="1" applyBorder="1" applyAlignment="1">
      <x:alignment vertical="center"/>
    </x:xf>
    <x:xf numFmtId="0" fontId="8" fillId="7" borderId="10" xfId="0" applyNumberFormat="1" applyFont="1" applyFill="1" applyBorder="1" applyAlignment="1">
      <x:alignment vertical="center" wrapText="1"/>
    </x:xf>
    <x:xf numFmtId="0" fontId="8" fillId="7" borderId="11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/>
    </x:xf>
    <x:xf numFmtId="202" fontId="8" fillId="6" borderId="13" xfId="0" applyNumberFormat="1" applyFont="1" applyFill="1" applyBorder="1" applyAlignment="1">
      <x:alignment horizontal="center" vertical="center"/>
    </x:xf>
    <x:xf numFmtId="201" fontId="8" fillId="6" borderId="13" xfId="0" applyNumberFormat="1" applyFont="1" applyFill="1" applyBorder="1" applyAlignment="1">
      <x:alignment horizontal="center" vertical="center"/>
    </x:xf>
    <x:xf numFmtId="0" fontId="8" fillId="6" borderId="14" xfId="0" applyNumberFormat="1" applyFont="1" applyFill="1" applyBorder="1" applyAlignment="1">
      <x:alignment vertical="center"/>
    </x:xf>
    <x:xf numFmtId="0" fontId="8" fillId="7" borderId="12" xfId="0" applyNumberFormat="1" applyFont="1" applyFill="1" applyBorder="1" applyAlignment="1">
      <x:alignment vertical="center" wrapText="1"/>
    </x:xf>
    <x:xf numFmtId="0" fontId="8" fillId="7" borderId="13" xfId="0" applyNumberFormat="1" applyFont="1" applyFill="1" applyBorder="1" applyAlignment="1">
      <x:alignment vertical="center" wrapText="1"/>
    </x:xf>
    <x:xf numFmtId="0" fontId="8" fillId="7" borderId="14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/>
    </x:xf>
    <x:xf numFmtId="202" fontId="8" fillId="6" borderId="15" xfId="0" applyNumberFormat="1" applyFont="1" applyFill="1" applyBorder="1" applyAlignment="1">
      <x:alignment horizontal="center" vertical="center"/>
    </x:xf>
    <x:xf numFmtId="201" fontId="8" fillId="6" borderId="15" xfId="0" applyNumberFormat="1" applyFont="1" applyFill="1" applyBorder="1" applyAlignment="1">
      <x:alignment horizontal="center" vertical="center"/>
    </x:xf>
    <x:xf numFmtId="0" fontId="8" fillId="6" borderId="7" xfId="0" applyNumberFormat="1" applyFont="1" applyFill="1" applyBorder="1" applyAlignment="1">
      <x:alignment vertical="center"/>
    </x:xf>
    <x:xf numFmtId="0" fontId="8" fillId="7" borderId="8" xfId="0" applyNumberFormat="1" applyFont="1" applyFill="1" applyBorder="1" applyAlignment="1">
      <x:alignment vertical="center" wrapText="1"/>
    </x:xf>
    <x:xf numFmtId="0" fontId="8" fillId="7" borderId="15" xfId="0" applyNumberFormat="1" applyFont="1" applyFill="1" applyBorder="1" applyAlignment="1">
      <x:alignment vertical="center" wrapText="1"/>
    </x:xf>
    <x:xf numFmtId="0" fontId="8" fillId="7" borderId="7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9" fillId="8" borderId="2" xfId="0" applyNumberFormat="1" applyFont="1" applyFill="1" applyBorder="1" applyAlignment="1">
      <x:alignment horizontal="center" vertical="center" wrapText="1"/>
    </x:xf>
    <x:xf numFmtId="0" fontId="9" fillId="8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9F2D26"/>
      </x:font>
      <x:fill>
        <x:patternFill patternType="solid">
          <x:bgColor rgb="FFFCE5E2"/>
        </x:patternFill>
      </x:fill>
    </x:dxf>
    <x:dxf>
      <x:font>
        <x:b/>
        <x:color rgb="FF805B10"/>
      </x:font>
      <x:fill>
        <x:patternFill patternType="solid">
          <x:bgColor rgb="FFFCECC9"/>
        </x:patternFill>
      </x:fill>
    </x:dxf>
    <x:dxf>
      <x:font>
        <x:b/>
        <x:color rgb="FF276738"/>
      </x:font>
      <x:fill>
        <x:patternFill patternType="solid">
          <x:bgColor rgb="FFDFF2E1"/>
        </x:patternFill>
      </x:fill>
    </x:dxf>
    <x:dxf>
      <x:font>
        <x:b/>
        <x:color rgb="FF276738"/>
      </x:font>
      <x:fill>
        <x:patternFill patternType="solid">
          <x:bgColor rgb="FFDFF2E1"/>
        </x:patternFill>
      </x:fill>
    </x:dxf>
    <x:dxf>
      <x:font>
        <x:b/>
        <x:color rgb="FF17324D"/>
      </x:font>
      <x:fill>
        <x:patternFill patternType="solid">
          <x:bgColor rgb="FFE7F0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68b81cffab4f6b" /><Relationship Type="http://schemas.openxmlformats.org/officeDocument/2006/relationships/theme" Target="/xl/theme/theme1.xml" Id="R919ab3d9121648a0" /><Relationship Type="http://schemas.openxmlformats.org/officeDocument/2006/relationships/sharedStrings" Target="/xl/sharedStrings.xml" Id="R73b54bbdee8743c8" /><Relationship Type="http://schemas.openxmlformats.org/officeDocument/2006/relationships/worksheet" Target="/xl/worksheets/sheet1.xml" Id="R3edccee07e66484a" /><Relationship Type="http://schemas.openxmlformats.org/officeDocument/2006/relationships/worksheet" Target="/xl/worksheets/sheet2.xml" Id="R24053cb24e02488e" /><Relationship Type="http://schemas.openxmlformats.org/officeDocument/2006/relationships/worksheet" Target="/xl/worksheets/sheet3.xml" Id="R8057409ba14440c7" /><Relationship Type="http://schemas.openxmlformats.org/officeDocument/2006/relationships/worksheet" Target="/xl/worksheets/sheet4.xml" Id="Rbf8725d45f5343c1" /></Relationships>
</file>

<file path=xl/tables/table1.xml><?xml version="1.0" encoding="utf-8"?>
<x:table xmlns:x="http://schemas.openxmlformats.org/spreadsheetml/2006/main" id="1" name="FeatureTasksTable" displayName="FeatureTasksTable" ref="A4:M23" headerRowCount="1" totalsRowCount="0" totalsRowShown="0">
  <x:autoFilter ref="A4:M23"/>
  <x:tableColumns count="13">
    <x:tableColumn id="1" name="순서"/>
    <x:tableColumn id="2" name="ID"/>
    <x:tableColumn id="3" name="단계"/>
    <x:tableColumn id="4" name="담당자"/>
    <x:tableColumn id="5" name="영역"/>
    <x:tableColumn id="6" name="난이도"/>
    <x:tableColumn id="7" name="예상일"/>
    <x:tableColumn id="8" name="브랜치 이름"/>
    <x:tableColumn id="9" name="기능"/>
    <x:tableColumn id="10" name="선행 기능"/>
    <x:tableColumn id="11" name="상태"/>
    <x:tableColumn id="12" name="우선순위"/>
    <x:tableColumn id="13" name="완료 조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atureDetailsTable" displayName="FeatureDetailsTable" ref="A4:H23" headerRowCount="1" totalsRowCount="0" totalsRowShown="0">
  <x:autoFilter ref="A4:H23"/>
  <x:tableColumns count="8">
    <x:tableColumn id="1" name="ID"/>
    <x:tableColumn id="2" name="기능"/>
    <x:tableColumn id="3" name="목적"/>
    <x:tableColumn id="4" name="입력"/>
    <x:tableColumn id="5" name="처리"/>
    <x:tableColumn id="6" name="출력"/>
    <x:tableColumn id="7" name="실패·보안 처리"/>
    <x:tableColumn id="8" name="완료 조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rintPlanTable" displayName="SprintPlanTable" ref="A4:E16" headerRowCount="1" totalsRowCount="0" totalsRowShown="0">
  <x:autoFilter ref="A4:E16"/>
  <x:tableColumns count="5">
    <x:tableColumn id="1" name="스프린트"/>
    <x:tableColumn id="2" name="실행 순서"/>
    <x:tableColumn id="3" name="담당"/>
    <x:tableColumn id="4" name="기능 ID / 작업"/>
    <x:tableColumn id="5" name="스프린트 산출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fa8b8445d24e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fdb742de384f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c3738358ba4c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6" hidden="0" customWidth="1"/>
    <x:col min="4" max="4" width="18" hidden="0" customWidth="1"/>
    <x:col min="5" max="5" width="3" hidden="0" customWidth="1"/>
    <x:col min="6" max="6" width="26" hidden="0" customWidth="1"/>
    <x:col min="7" max="7" width="20" hidden="0" customWidth="1"/>
    <x:col min="8" max="8" width="20" hidden="0" customWidth="1"/>
  </x:cols>
  <x:sheetData>
    <x:row r="1" ht="34" customHeight="1">
      <x:c r="A1" s="3" t="str">
        <x:v>Tollgate MVP 개발 현황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전체 기능 시트의 상태를 변경하면 아래 지표가 자동으로 갱신됩니다.</x:v>
      </x:c>
      <x:c r="B2" s="6"/>
      <x:c r="C2" s="6"/>
      <x:c r="D2" s="6"/>
      <x:c r="E2" s="6"/>
      <x:c r="F2" s="6"/>
      <x:c r="G2" s="6"/>
      <x:c r="H2" s="6"/>
    </x:row>
    <x:row r="4">
      <x:c r="A4" s="130" t="str">
        <x:v>MVP 기능 수</x:v>
      </x:c>
      <x:c r="B4" s="130"/>
      <x:c r="C4" s="130" t="str">
        <x:v>완료 기능</x:v>
      </x:c>
      <x:c r="D4" s="130"/>
      <x:c r="E4" s="130" t="str">
        <x:v>총 예상 작업일</x:v>
      </x:c>
      <x:c r="F4" s="130"/>
      <x:c r="G4" s="130" t="str">
        <x:v>진행률</x:v>
      </x:c>
      <x:c r="H4" s="130"/>
    </x:row>
    <x:row r="5">
      <x:c r="A5" s="131" t="n">
        <x:f>COUNTA('전체 기능'!$B$5:$B$23)</x:f>
        <x:v>19</x:v>
      </x:c>
      <x:c r="B5" s="132"/>
      <x:c r="C5" s="131" t="n">
        <x:f>COUNTIF('전체 기능'!$K$5:$K$23,"완료")</x:f>
        <x:v>0</x:v>
      </x:c>
      <x:c r="D5" s="132"/>
      <x:c r="E5" s="133" t="n">
        <x:f>SUM('전체 기능'!$G$5:$G$23)</x:f>
        <x:v>44</x:v>
      </x:c>
      <x:c r="F5" s="132"/>
      <x:c r="G5" s="134" t="n">
        <x:f>IFERROR(C5/A5,0)</x:f>
        <x:v>0</x:v>
      </x:c>
      <x:c r="H5" s="132"/>
    </x:row>
    <x:row r="6">
      <x:c r="A6" s="135"/>
      <x:c r="B6" s="136"/>
      <x:c r="C6" s="135"/>
      <x:c r="D6" s="136"/>
      <x:c r="E6" s="135"/>
      <x:c r="F6" s="136"/>
      <x:c r="G6" s="135"/>
      <x:c r="H6" s="136"/>
    </x:row>
    <x:row r="7">
      <x:c r="A7" s="137"/>
      <x:c r="B7" s="137"/>
      <x:c r="C7" s="137"/>
      <x:c r="D7" s="137"/>
      <x:c r="E7" s="137"/>
      <x:c r="F7" s="137"/>
      <x:c r="G7" s="137"/>
      <x:c r="H7" s="137"/>
    </x:row>
    <x:row r="8">
      <x:c r="A8" s="137"/>
      <x:c r="B8" s="137"/>
      <x:c r="C8" s="137"/>
      <x:c r="D8" s="137"/>
      <x:c r="E8" s="137"/>
      <x:c r="F8" s="137"/>
      <x:c r="G8" s="137"/>
      <x:c r="H8" s="137"/>
    </x:row>
    <x:row r="9" ht="30" customHeight="1">
      <x:c r="A9" s="138" t="str">
        <x:v>담당 영역</x:v>
      </x:c>
      <x:c r="B9" s="139" t="str">
        <x:v>기능 수</x:v>
      </x:c>
      <x:c r="C9" s="139" t="str">
        <x:v>예상 작업일</x:v>
      </x:c>
      <x:c r="D9" s="140" t="str">
        <x:v>비고</x:v>
      </x:c>
      <x:c r="E9" s="137"/>
      <x:c r="F9" s="138" t="str">
        <x:v>개발 원칙</x:v>
      </x:c>
      <x:c r="G9" s="139"/>
      <x:c r="H9" s="140"/>
    </x:row>
    <x:row r="10">
      <x:c r="A10" s="141" t="str">
        <x:v>분석 엔진</x:v>
      </x:c>
      <x:c r="B10" s="142" t="n">
        <x:f>COUNTIF('전체 기능'!$E$5:$E$23,A10)</x:f>
        <x:v>5</x:v>
      </x:c>
      <x:c r="C10" s="143" t="n">
        <x:f>SUMIF('전체 기능'!$E$5:$E$23,A10,'전체 기능'!$G$5:$G$23)</x:f>
        <x:v>12</x:v>
      </x:c>
      <x:c r="D10" s="144" t="str">
        <x:v>가영 중심</x:v>
      </x:c>
      <x:c r="E10" s="137"/>
      <x:c r="F10" s="145" t="str">
        <x:v>1. 공통 스키마를 먼저 병합한다.</x:v>
      </x:c>
      <x:c r="G10" s="146"/>
      <x:c r="H10" s="147"/>
    </x:row>
    <x:row r="11">
      <x:c r="A11" s="148" t="str">
        <x:v>백엔드</x:v>
      </x:c>
      <x:c r="B11" s="149" t="n">
        <x:f>COUNTIF('전체 기능'!$E$5:$E$23,A11)</x:f>
        <x:v>5</x:v>
      </x:c>
      <x:c r="C11" s="150" t="n">
        <x:f>SUMIF('전체 기능'!$E$5:$E$23,A11,'전체 기능'!$G$5:$G$23)</x:f>
        <x:v>12</x:v>
      </x:c>
      <x:c r="D11" s="151" t="str">
        <x:v>은지 중심</x:v>
      </x:c>
      <x:c r="E11" s="137"/>
      <x:c r="F11" s="152" t="str">
        <x:v>2. 모든 기능 브랜치는 develop에서 생성한다.</x:v>
      </x:c>
      <x:c r="G11" s="153"/>
      <x:c r="H11" s="154"/>
    </x:row>
    <x:row r="12">
      <x:c r="A12" s="148" t="str">
        <x:v>웹</x:v>
      </x:c>
      <x:c r="B12" s="149" t="n">
        <x:f>COUNTIF('전체 기능'!$E$5:$E$23,A12)</x:f>
        <x:v>5</x:v>
      </x:c>
      <x:c r="C12" s="150" t="n">
        <x:f>SUMIF('전체 기능'!$E$5:$E$23,A12,'전체 기능'!$G$5:$G$23)</x:f>
        <x:v>11</x:v>
      </x:c>
      <x:c r="D12" s="151" t="str">
        <x:v>예은 중심</x:v>
      </x:c>
      <x:c r="E12" s="137"/>
      <x:c r="F12" s="152" t="str">
        <x:v>3. 계산식 변경에는 fixture 테스트를 포함한다.</x:v>
      </x:c>
      <x:c r="G12" s="153"/>
      <x:c r="H12" s="154"/>
    </x:row>
    <x:row r="13">
      <x:c r="A13" s="148" t="str">
        <x:v>통합</x:v>
      </x:c>
      <x:c r="B13" s="149" t="n">
        <x:f>COUNTIF('전체 기능'!$E$5:$E$23,A13)</x:f>
        <x:v>1</x:v>
      </x:c>
      <x:c r="C13" s="150" t="n">
        <x:f>SUMIF('전체 기능'!$E$5:$E$23,A13,'전체 기능'!$G$5:$G$23)</x:f>
        <x:v>4</x:v>
      </x:c>
      <x:c r="D13" s="151" t="str">
        <x:v>전원</x:v>
      </x:c>
      <x:c r="E13" s="137"/>
      <x:c r="F13" s="152" t="str">
        <x:v>4. PR과 웹은 동일한 runId와 비용 결과를 사용한다.</x:v>
      </x:c>
      <x:c r="G13" s="153"/>
      <x:c r="H13" s="154"/>
    </x:row>
    <x:row r="14">
      <x:c r="A14" s="155" t="str">
        <x:v>릴리즈</x:v>
      </x:c>
      <x:c r="B14" s="156" t="n">
        <x:f>COUNTIF('전체 기능'!$E$5:$E$23,A14)</x:f>
        <x:v>1</x:v>
      </x:c>
      <x:c r="C14" s="157" t="n">
        <x:f>SUMIF('전체 기능'!$E$5:$E$23,A14,'전체 기능'!$G$5:$G$23)</x:f>
        <x:v>2</x:v>
      </x:c>
      <x:c r="D14" s="158" t="str">
        <x:v>전원</x:v>
      </x:c>
      <x:c r="E14" s="137"/>
      <x:c r="F14" s="159" t="str">
        <x:v>5. API 키와 환경변수 원문을 출력하지 않는다.</x:v>
      </x:c>
      <x:c r="G14" s="160"/>
      <x:c r="H14" s="161"/>
    </x:row>
    <x:row r="15">
      <x:c r="A15" s="137"/>
      <x:c r="B15" s="137"/>
      <x:c r="C15" s="137"/>
      <x:c r="D15" s="137"/>
      <x:c r="E15" s="137"/>
      <x:c r="F15" s="137"/>
      <x:c r="G15" s="137"/>
      <x:c r="H15" s="137"/>
    </x:row>
    <x:row r="16">
      <x:c r="A16" s="137"/>
      <x:c r="B16" s="137"/>
      <x:c r="C16" s="137"/>
      <x:c r="D16" s="137"/>
      <x:c r="E16" s="137"/>
      <x:c r="F16" s="137"/>
      <x:c r="G16" s="137"/>
      <x:c r="H16" s="137"/>
    </x:row>
    <x:row r="17" ht="34" customHeight="1">
      <x:c r="A17" s="162" t="str">
        <x:v>권장 흐름: 공통 스키마 → 호출 탐지 → 비용 계산 → CLI·저장 → 웹 → GitHub PR → 통합·릴리즈</x:v>
      </x:c>
      <x:c r="B17" s="163"/>
      <x:c r="C17" s="163"/>
      <x:c r="D17" s="163"/>
      <x:c r="E17" s="163"/>
      <x:c r="F17" s="163"/>
      <x:c r="G17" s="163"/>
      <x:c r="H17" s="164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F9:H9"/>
    <x:mergeCell ref="F10:H10"/>
    <x:mergeCell ref="F11:H11"/>
    <x:mergeCell ref="F12:H12"/>
    <x:mergeCell ref="F13:H13"/>
    <x:mergeCell ref="F14:H14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3" hidden="0" customWidth="1"/>
    <x:col min="4" max="4" width="17" hidden="0" customWidth="1"/>
    <x:col min="5" max="5" width="12" hidden="0" customWidth="1"/>
    <x:col min="6" max="6" width="9" hidden="0" customWidth="1"/>
    <x:col min="7" max="7" width="9" hidden="0" customWidth="1"/>
    <x:col min="8" max="8" width="38" hidden="0" customWidth="1"/>
    <x:col min="9" max="9" width="34" hidden="0" customWidth="1"/>
    <x:col min="10" max="10" width="27" hidden="0" customWidth="1"/>
    <x:col min="11" max="11" width="12" hidden="0" customWidth="1"/>
    <x:col min="12" max="12" width="11" hidden="0" customWidth="1"/>
    <x:col min="13" max="13" width="48" hidden="0" customWidth="1"/>
  </x:cols>
  <x:sheetData>
    <x:row r="1" ht="34" customHeight="1">
      <x:c r="A1" s="3" t="str">
        <x:v>Tollgate 기능 개발 목록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6" t="str">
        <x:v>상태와 우선순위는 드롭다운으로 변경할 수 있습니다. 모든 기능 브랜치는 develop에서 시작합니다.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0" customHeight="1">
      <x:c r="A4" s="18" t="str">
        <x:v>순서</x:v>
      </x:c>
      <x:c r="B4" s="19" t="str">
        <x:v>ID</x:v>
      </x:c>
      <x:c r="C4" s="19" t="str">
        <x:v>단계</x:v>
      </x:c>
      <x:c r="D4" s="19" t="str">
        <x:v>담당자</x:v>
      </x:c>
      <x:c r="E4" s="19" t="str">
        <x:v>영역</x:v>
      </x:c>
      <x:c r="F4" s="19" t="str">
        <x:v>난이도</x:v>
      </x:c>
      <x:c r="G4" s="19" t="str">
        <x:v>예상일</x:v>
      </x:c>
      <x:c r="H4" s="19" t="str">
        <x:v>브랜치 이름</x:v>
      </x:c>
      <x:c r="I4" s="19" t="str">
        <x:v>기능</x:v>
      </x:c>
      <x:c r="J4" s="19" t="str">
        <x:v>선행 기능</x:v>
      </x:c>
      <x:c r="K4" s="19" t="str">
        <x:v>상태</x:v>
      </x:c>
      <x:c r="L4" s="19" t="str">
        <x:v>우선순위</x:v>
      </x:c>
      <x:c r="M4" s="20" t="str">
        <x:v>완료 조건</x:v>
      </x:c>
    </x:row>
    <x:row r="5" ht="42" customHeight="1">
      <x:c r="A5" s="31" t="n">
        <x:v>1</x:v>
      </x:c>
      <x:c r="B5" s="32" t="str">
        <x:v>COMMON-01</x:v>
      </x:c>
      <x:c r="C5" s="32" t="str">
        <x:v>공통 계약</x:v>
      </x:c>
      <x:c r="D5" s="32" t="str">
        <x:v>가영(전원 리뷰)</x:v>
      </x:c>
      <x:c r="E5" s="32" t="str">
        <x:v>공통</x:v>
      </x:c>
      <x:c r="F5" s="32" t="str">
        <x:v>중</x:v>
      </x:c>
      <x:c r="G5" s="33" t="n">
        <x:v>2</x:v>
      </x:c>
      <x:c r="H5" s="34" t="str">
        <x:v>feature/schema-analysis-result</x:v>
      </x:c>
      <x:c r="I5" s="34" t="str">
        <x:v>분석 결과 JSON 스키마 정의</x:v>
      </x:c>
      <x:c r="J5" s="34" t="str">
        <x:v>없음</x:v>
      </x:c>
      <x:c r="K5" s="34" t="str">
        <x:v>시작 전</x:v>
      </x:c>
      <x:c r="L5" s="34" t="str">
        <x:v>P0</x:v>
      </x:c>
      <x:c r="M5" s="35" t="str">
        <x:v>JSON Schema와 fixture를 세 영역에서 읽고 검증 테스트 통과</x:v>
      </x:c>
    </x:row>
    <x:row r="6" ht="42" customHeight="1">
      <x:c r="A6" s="31" t="n">
        <x:v>2</x:v>
      </x:c>
      <x:c r="B6" s="32" t="str">
        <x:v>COMMON-02</x:v>
      </x:c>
      <x:c r="C6" s="32" t="str">
        <x:v>공통 계약</x:v>
      </x:c>
      <x:c r="D6" s="32" t="str">
        <x:v>은지(전원 리뷰)</x:v>
      </x:c>
      <x:c r="E6" s="32" t="str">
        <x:v>공통</x:v>
      </x:c>
      <x:c r="F6" s="32" t="str">
        <x:v>하</x:v>
      </x:c>
      <x:c r="G6" s="33" t="n">
        <x:v>1</x:v>
      </x:c>
      <x:c r="H6" s="34" t="str">
        <x:v>feature/schema-project-config</x:v>
      </x:c>
      <x:c r="I6" s="34" t="str">
        <x:v>프로젝트 설정 스키마 정의</x:v>
      </x:c>
      <x:c r="J6" s="34" t="str">
        <x:v>COMMON-01과 병렬</x:v>
      </x:c>
      <x:c r="K6" s="34" t="str">
        <x:v>시작 전</x:v>
      </x:c>
      <x:c r="L6" s="34" t="str">
        <x:v>P0</x:v>
      </x:c>
      <x:c r="M6" s="35" t="str">
        <x:v>누락·타입·음수 입력 검증 및 기본값 문서 일치</x:v>
      </x:c>
    </x:row>
    <x:row r="7" ht="42" customHeight="1">
      <x:c r="A7" s="31" t="n">
        <x:v>3</x:v>
      </x:c>
      <x:c r="B7" s="32" t="str">
        <x:v>COMMON-03</x:v>
      </x:c>
      <x:c r="C7" s="32" t="str">
        <x:v>공통 계약</x:v>
      </x:c>
      <x:c r="D7" s="32" t="str">
        <x:v>가영</x:v>
      </x:c>
      <x:c r="E7" s="32" t="str">
        <x:v>분석 엔진</x:v>
      </x:c>
      <x:c r="F7" s="32" t="str">
        <x:v>하</x:v>
      </x:c>
      <x:c r="G7" s="33" t="n">
        <x:v>1</x:v>
      </x:c>
      <x:c r="H7" s="34" t="str">
        <x:v>feature/pricing-data-model</x:v>
      </x:c>
      <x:c r="I7" s="34" t="str">
        <x:v>서비스 단가 데이터 구조 및 샘플 정의</x:v>
      </x:c>
      <x:c r="J7" s="34" t="str">
        <x:v>COMMON-01</x:v>
      </x:c>
      <x:c r="K7" s="34" t="str">
        <x:v>시작 전</x:v>
      </x:c>
      <x:c r="L7" s="34" t="str">
        <x:v>P0</x:v>
      </x:c>
      <x:c r="M7" s="35" t="str">
        <x:v>서비스 데이터 교체만으로 계산기 재사용 가능</x:v>
      </x:c>
    </x:row>
    <x:row r="8" ht="42" customHeight="1">
      <x:c r="A8" s="31" t="n">
        <x:v>4</x:v>
      </x:c>
      <x:c r="B8" s="32" t="str">
        <x:v>CORE-01</x:v>
      </x:c>
      <x:c r="C8" s="32" t="str">
        <x:v>분석 엔진</x:v>
      </x:c>
      <x:c r="D8" s="32" t="str">
        <x:v>가영</x:v>
      </x:c>
      <x:c r="E8" s="32" t="str">
        <x:v>분석 엔진</x:v>
      </x:c>
      <x:c r="F8" s="32" t="str">
        <x:v>상</x:v>
      </x:c>
      <x:c r="G8" s="33" t="n">
        <x:v>3</x:v>
      </x:c>
      <x:c r="H8" s="34" t="str">
        <x:v>feature/analysis-call-detector</x:v>
      </x:c>
      <x:c r="I8" s="34" t="str">
        <x:v>API 호출 위치 탐지</x:v>
      </x:c>
      <x:c r="J8" s="34" t="str">
        <x:v>COMMON-01</x:v>
      </x:c>
      <x:c r="K8" s="34" t="str">
        <x:v>시작 전</x:v>
      </x:c>
      <x:c r="L8" s="34" t="str">
        <x:v>P0</x:v>
      </x:c>
      <x:c r="M8" s="35" t="str">
        <x:v>일반·함수 내부·비동기 호출 탐지 및 오탐 테스트</x:v>
      </x:c>
    </x:row>
    <x:row r="9" ht="42" customHeight="1">
      <x:c r="A9" s="31" t="n">
        <x:v>5</x:v>
      </x:c>
      <x:c r="B9" s="32" t="str">
        <x:v>CORE-02</x:v>
      </x:c>
      <x:c r="C9" s="32" t="str">
        <x:v>분석 엔진</x:v>
      </x:c>
      <x:c r="D9" s="32" t="str">
        <x:v>가영</x:v>
      </x:c>
      <x:c r="E9" s="32" t="str">
        <x:v>분석 엔진</x:v>
      </x:c>
      <x:c r="F9" s="32" t="str">
        <x:v>상</x:v>
      </x:c>
      <x:c r="G9" s="33" t="n">
        <x:v>3</x:v>
      </x:c>
      <x:c r="H9" s="34" t="str">
        <x:v>feature/analysis-repeat-multiplier</x:v>
      </x:c>
      <x:c r="I9" s="34" t="str">
        <x:v>반복·중첩 호출 배수 계산</x:v>
      </x:c>
      <x:c r="J9" s="34" t="str">
        <x:v>CORE-01</x:v>
      </x:c>
      <x:c r="K9" s="34" t="str">
        <x:v>시작 전</x:v>
      </x:c>
      <x:c r="L9" s="34" t="str">
        <x:v>P0</x:v>
      </x:c>
      <x:c r="M9" s="35" t="str">
        <x:v>1회·단일·중첩·불명 반복 fixture 테스트 통과</x:v>
      </x:c>
    </x:row>
    <x:row r="10" ht="42" customHeight="1">
      <x:c r="A10" s="31" t="n">
        <x:v>6</x:v>
      </x:c>
      <x:c r="B10" s="32" t="str">
        <x:v>CORE-03</x:v>
      </x:c>
      <x:c r="C10" s="32" t="str">
        <x:v>분석 엔진</x:v>
      </x:c>
      <x:c r="D10" s="32" t="str">
        <x:v>가영</x:v>
      </x:c>
      <x:c r="E10" s="32" t="str">
        <x:v>분석 엔진</x:v>
      </x:c>
      <x:c r="F10" s="32" t="str">
        <x:v>상</x:v>
      </x:c>
      <x:c r="G10" s="33" t="n">
        <x:v>3</x:v>
      </x:c>
      <x:c r="H10" s="34" t="str">
        <x:v>feature/analysis-cost-estimator</x:v>
      </x:c>
      <x:c r="I10" s="34" t="str">
        <x:v>시나리오 기반 예상 비용 계산</x:v>
      </x:c>
      <x:c r="J10" s="34" t="str">
        <x:v>COMMON-03, CORE-02</x:v>
      </x:c>
      <x:c r="K10" s="34" t="str">
        <x:v>시작 전</x:v>
      </x:c>
      <x:c r="L10" s="34" t="str">
        <x:v>P0</x:v>
      </x:c>
      <x:c r="M10" s="35" t="str">
        <x:v>기대 비용과 소수점·통화 처리 테스트 통과</x:v>
      </x:c>
    </x:row>
    <x:row r="11" ht="42" customHeight="1">
      <x:c r="A11" s="31" t="n">
        <x:v>7</x:v>
      </x:c>
      <x:c r="B11" s="32" t="str">
        <x:v>CORE-04</x:v>
      </x:c>
      <x:c r="C11" s="32" t="str">
        <x:v>분석 엔진</x:v>
      </x:c>
      <x:c r="D11" s="32" t="str">
        <x:v>가영</x:v>
      </x:c>
      <x:c r="E11" s="32" t="str">
        <x:v>분석 엔진</x:v>
      </x:c>
      <x:c r="F11" s="32" t="str">
        <x:v>중</x:v>
      </x:c>
      <x:c r="G11" s="33" t="n">
        <x:v>2</x:v>
      </x:c>
      <x:c r="H11" s="34" t="str">
        <x:v>feature/analysis-risk-confidence</x:v>
      </x:c>
      <x:c r="I11" s="34" t="str">
        <x:v>위험도와 신뢰도 판정</x:v>
      </x:c>
      <x:c r="J11" s="34" t="str">
        <x:v>CORE-03</x:v>
      </x:c>
      <x:c r="K11" s="34" t="str">
        <x:v>시작 전</x:v>
      </x:c>
      <x:c r="L11" s="34" t="str">
        <x:v>P0</x:v>
      </x:c>
      <x:c r="M11" s="35" t="str">
        <x:v>비용 위험도와 계산 신뢰도를 분리하여 판정</x:v>
      </x:c>
    </x:row>
    <x:row r="12" ht="42" customHeight="1">
      <x:c r="A12" s="31" t="n">
        <x:v>8</x:v>
      </x:c>
      <x:c r="B12" s="32" t="str">
        <x:v>BACKEND-01</x:v>
      </x:c>
      <x:c r="C12" s="32" t="str">
        <x:v>백엔드</x:v>
      </x:c>
      <x:c r="D12" s="32" t="str">
        <x:v>은지</x:v>
      </x:c>
      <x:c r="E12" s="32" t="str">
        <x:v>백엔드</x:v>
      </x:c>
      <x:c r="F12" s="32" t="str">
        <x:v>중</x:v>
      </x:c>
      <x:c r="G12" s="33" t="n">
        <x:v>2</x:v>
      </x:c>
      <x:c r="H12" s="34" t="str">
        <x:v>feature/backend-config-loader</x:v>
      </x:c>
      <x:c r="I12" s="34" t="str">
        <x:v>설정 파일 로딩 및 검증</x:v>
      </x:c>
      <x:c r="J12" s="34" t="str">
        <x:v>COMMON-02</x:v>
      </x:c>
      <x:c r="K12" s="34" t="str">
        <x:v>시작 전</x:v>
      </x:c>
      <x:c r="L12" s="34" t="str">
        <x:v>P0</x:v>
      </x:c>
      <x:c r="M12" s="35" t="str">
        <x:v>정상·누락·타입·음수 테스트 및 민감값 로그 미노출</x:v>
      </x:c>
    </x:row>
    <x:row r="13" ht="42" customHeight="1">
      <x:c r="A13" s="31" t="n">
        <x:v>9</x:v>
      </x:c>
      <x:c r="B13" s="32" t="str">
        <x:v>BACKEND-02</x:v>
      </x:c>
      <x:c r="C13" s="32" t="str">
        <x:v>백엔드</x:v>
      </x:c>
      <x:c r="D13" s="32" t="str">
        <x:v>은지</x:v>
      </x:c>
      <x:c r="E13" s="32" t="str">
        <x:v>백엔드</x:v>
      </x:c>
      <x:c r="F13" s="32" t="str">
        <x:v>중</x:v>
      </x:c>
      <x:c r="G13" s="33" t="n">
        <x:v>2</x:v>
      </x:c>
      <x:c r="H13" s="34" t="str">
        <x:v>feature/backend-cli-scan</x:v>
      </x:c>
      <x:c r="I13" s="34" t="str">
        <x:v>CLI 분석 명령과 파일 수집</x:v>
      </x:c>
      <x:c r="J13" s="34" t="str">
        <x:v>BACKEND-01, CORE-01</x:v>
      </x:c>
      <x:c r="K13" s="34" t="str">
        <x:v>시작 전</x:v>
      </x:c>
      <x:c r="L13" s="34" t="str">
        <x:v>P0</x:v>
      </x:c>
      <x:c r="M13" s="35" t="str">
        <x:v>파일 수집·제외 경로·종료 코드가 명세대로 동작</x:v>
      </x:c>
    </x:row>
    <x:row r="14" ht="42" customHeight="1">
      <x:c r="A14" s="31" t="n">
        <x:v>10</x:v>
      </x:c>
      <x:c r="B14" s="32" t="str">
        <x:v>BACKEND-03</x:v>
      </x:c>
      <x:c r="C14" s="32" t="str">
        <x:v>백엔드</x:v>
      </x:c>
      <x:c r="D14" s="32" t="str">
        <x:v>은지</x:v>
      </x:c>
      <x:c r="E14" s="32" t="str">
        <x:v>백엔드</x:v>
      </x:c>
      <x:c r="F14" s="32" t="str">
        <x:v>중</x:v>
      </x:c>
      <x:c r="G14" s="33" t="n">
        <x:v>2</x:v>
      </x:c>
      <x:c r="H14" s="34" t="str">
        <x:v>feature/backend-analysis-store</x:v>
      </x:c>
      <x:c r="I14" s="34" t="str">
        <x:v>분석 실행 결과 저장 및 조회</x:v>
      </x:c>
      <x:c r="J14" s="34" t="str">
        <x:v>BACKEND-02, CORE-04</x:v>
      </x:c>
      <x:c r="K14" s="34" t="str">
        <x:v>시작 전</x:v>
      </x:c>
      <x:c r="L14" s="34" t="str">
        <x:v>P0</x:v>
      </x:c>
      <x:c r="M14" s="35" t="str">
        <x:v>저장 후 조회한 결과의 필드와 숫자가 동일</x:v>
      </x:c>
    </x:row>
    <x:row r="15" ht="42" customHeight="1">
      <x:c r="A15" s="31" t="n">
        <x:v>11</x:v>
      </x:c>
      <x:c r="B15" s="32" t="str">
        <x:v>WEB-01</x:v>
      </x:c>
      <x:c r="C15" s="32" t="str">
        <x:v>웹</x:v>
      </x:c>
      <x:c r="D15" s="32" t="str">
        <x:v>예은</x:v>
      </x:c>
      <x:c r="E15" s="32" t="str">
        <x:v>웹</x:v>
      </x:c>
      <x:c r="F15" s="32" t="str">
        <x:v>중</x:v>
      </x:c>
      <x:c r="G15" s="33" t="n">
        <x:v>2</x:v>
      </x:c>
      <x:c r="H15" s="34" t="str">
        <x:v>feature/web-dashboard-shell</x:v>
      </x:c>
      <x:c r="I15" s="34" t="str">
        <x:v>대시보드 구조와 fixture 화면</x:v>
      </x:c>
      <x:c r="J15" s="34" t="str">
        <x:v>COMMON-01</x:v>
      </x:c>
      <x:c r="K15" s="34" t="str">
        <x:v>시작 전</x:v>
      </x:c>
      <x:c r="L15" s="34" t="str">
        <x:v>P0</x:v>
      </x:c>
      <x:c r="M15" s="35" t="str">
        <x:v>모바일·데스크톱에서 fixture와 상태 화면 표시</x:v>
      </x:c>
    </x:row>
    <x:row r="16" ht="42" customHeight="1">
      <x:c r="A16" s="31" t="n">
        <x:v>12</x:v>
      </x:c>
      <x:c r="B16" s="32" t="str">
        <x:v>WEB-02</x:v>
      </x:c>
      <x:c r="C16" s="32" t="str">
        <x:v>웹</x:v>
      </x:c>
      <x:c r="D16" s="32" t="str">
        <x:v>예은</x:v>
      </x:c>
      <x:c r="E16" s="32" t="str">
        <x:v>웹</x:v>
      </x:c>
      <x:c r="F16" s="32" t="str">
        <x:v>중</x:v>
      </x:c>
      <x:c r="G16" s="33" t="n">
        <x:v>2</x:v>
      </x:c>
      <x:c r="H16" s="34" t="str">
        <x:v>feature/web-analysis-summary</x:v>
      </x:c>
      <x:c r="I16" s="34" t="str">
        <x:v>분석 요약 및 위험 항목 목록</x:v>
      </x:c>
      <x:c r="J16" s="34" t="str">
        <x:v>WEB-01, BACKEND-03</x:v>
      </x:c>
      <x:c r="K16" s="34" t="str">
        <x:v>시작 전</x:v>
      </x:c>
      <x:c r="L16" s="34" t="str">
        <x:v>P0</x:v>
      </x:c>
      <x:c r="M16" s="35" t="str">
        <x:v>고위험 우선 정렬 및 로딩·오류·빈 상태 처리</x:v>
      </x:c>
    </x:row>
    <x:row r="17" ht="42" customHeight="1">
      <x:c r="A17" s="31" t="n">
        <x:v>13</x:v>
      </x:c>
      <x:c r="B17" s="32" t="str">
        <x:v>WEB-03</x:v>
      </x:c>
      <x:c r="C17" s="32" t="str">
        <x:v>웹</x:v>
      </x:c>
      <x:c r="D17" s="32" t="str">
        <x:v>예은</x:v>
      </x:c>
      <x:c r="E17" s="32" t="str">
        <x:v>웹</x:v>
      </x:c>
      <x:c r="F17" s="32" t="str">
        <x:v>중</x:v>
      </x:c>
      <x:c r="G17" s="33" t="n">
        <x:v>2</x:v>
      </x:c>
      <x:c r="H17" s="34" t="str">
        <x:v>feature/web-finding-detail</x:v>
      </x:c>
      <x:c r="I17" s="34" t="str">
        <x:v>파일별 상세 분석 화면</x:v>
      </x:c>
      <x:c r="J17" s="34" t="str">
        <x:v>WEB-02</x:v>
      </x:c>
      <x:c r="K17" s="34" t="str">
        <x:v>시작 전</x:v>
      </x:c>
      <x:c r="L17" s="34" t="str">
        <x:v>P1</x:v>
      </x:c>
      <x:c r="M17" s="35" t="str">
        <x:v>최종 금액의 계산 근거를 화면에서 역추적 가능</x:v>
      </x:c>
    </x:row>
    <x:row r="18" ht="42" customHeight="1">
      <x:c r="A18" s="31" t="n">
        <x:v>14</x:v>
      </x:c>
      <x:c r="B18" s="32" t="str">
        <x:v>WEB-04</x:v>
      </x:c>
      <x:c r="C18" s="32" t="str">
        <x:v>웹</x:v>
      </x:c>
      <x:c r="D18" s="32" t="str">
        <x:v>예은</x:v>
      </x:c>
      <x:c r="E18" s="32" t="str">
        <x:v>웹</x:v>
      </x:c>
      <x:c r="F18" s="32" t="str">
        <x:v>상</x:v>
      </x:c>
      <x:c r="G18" s="33" t="n">
        <x:v>3</x:v>
      </x:c>
      <x:c r="H18" s="34" t="str">
        <x:v>feature/web-scenario-comparison</x:v>
      </x:c>
      <x:c r="I18" s="34" t="str">
        <x:v>사용량 시나리오 비교 및 재계산</x:v>
      </x:c>
      <x:c r="J18" s="34" t="str">
        <x:v>CORE-03, WEB-02</x:v>
      </x:c>
      <x:c r="K18" s="34" t="str">
        <x:v>시작 전</x:v>
      </x:c>
      <x:c r="L18" s="34" t="str">
        <x:v>P1</x:v>
      </x:c>
      <x:c r="M18" s="35" t="str">
        <x:v>동일 입력에서 엔진과 웹의 계산 결과 일치</x:v>
      </x:c>
    </x:row>
    <x:row r="19" ht="42" customHeight="1">
      <x:c r="A19" s="31" t="n">
        <x:v>15</x:v>
      </x:c>
      <x:c r="B19" s="32" t="str">
        <x:v>BACKEND-04</x:v>
      </x:c>
      <x:c r="C19" s="32" t="str">
        <x:v>GitHub 연동</x:v>
      </x:c>
      <x:c r="D19" s="32" t="str">
        <x:v>은지</x:v>
      </x:c>
      <x:c r="E19" s="32" t="str">
        <x:v>백엔드</x:v>
      </x:c>
      <x:c r="F19" s="32" t="str">
        <x:v>상</x:v>
      </x:c>
      <x:c r="G19" s="33" t="n">
        <x:v>3</x:v>
      </x:c>
      <x:c r="H19" s="34" t="str">
        <x:v>feature/github-action-runner</x:v>
      </x:c>
      <x:c r="I19" s="34" t="str">
        <x:v>GitHub Action에서 PR 코드 분석</x:v>
      </x:c>
      <x:c r="J19" s="34" t="str">
        <x:v>BACKEND-03</x:v>
      </x:c>
      <x:c r="K19" s="34" t="str">
        <x:v>시작 전</x:v>
      </x:c>
      <x:c r="L19" s="34" t="str">
        <x:v>P0</x:v>
      </x:c>
      <x:c r="M19" s="35" t="str">
        <x:v>샘플 PR의 변경 파일만 분석하고 실패 이유 표시</x:v>
      </x:c>
    </x:row>
    <x:row r="20" ht="42" customHeight="1">
      <x:c r="A20" s="31" t="n">
        <x:v>16</x:v>
      </x:c>
      <x:c r="B20" s="32" t="str">
        <x:v>BACKEND-05</x:v>
      </x:c>
      <x:c r="C20" s="32" t="str">
        <x:v>GitHub 연동</x:v>
      </x:c>
      <x:c r="D20" s="32" t="str">
        <x:v>은지</x:v>
      </x:c>
      <x:c r="E20" s="32" t="str">
        <x:v>백엔드</x:v>
      </x:c>
      <x:c r="F20" s="32" t="str">
        <x:v>상</x:v>
      </x:c>
      <x:c r="G20" s="33" t="n">
        <x:v>3</x:v>
      </x:c>
      <x:c r="H20" s="34" t="str">
        <x:v>feature/github-pr-comment</x:v>
      </x:c>
      <x:c r="I20" s="34" t="str">
        <x:v>PR 요약 코멘트 및 대시보드 링크</x:v>
      </x:c>
      <x:c r="J20" s="34" t="str">
        <x:v>BACKEND-04, WEB-02</x:v>
      </x:c>
      <x:c r="K20" s="34" t="str">
        <x:v>시작 전</x:v>
      </x:c>
      <x:c r="L20" s="34" t="str">
        <x:v>P0</x:v>
      </x:c>
      <x:c r="M20" s="35" t="str">
        <x:v>재실행 시 봇 코멘트 하나 유지 및 runId 링크 일치</x:v>
      </x:c>
    </x:row>
    <x:row r="21" ht="42" customHeight="1">
      <x:c r="A21" s="31" t="n">
        <x:v>17</x:v>
      </x:c>
      <x:c r="B21" s="32" t="str">
        <x:v>WEB-05</x:v>
      </x:c>
      <x:c r="C21" s="32" t="str">
        <x:v>웹</x:v>
      </x:c>
      <x:c r="D21" s="32" t="str">
        <x:v>예은</x:v>
      </x:c>
      <x:c r="E21" s="32" t="str">
        <x:v>웹</x:v>
      </x:c>
      <x:c r="F21" s="32" t="str">
        <x:v>중</x:v>
      </x:c>
      <x:c r="G21" s="33" t="n">
        <x:v>2</x:v>
      </x:c>
      <x:c r="H21" s="34" t="str">
        <x:v>feature/web-pr-analysis-view</x:v>
      </x:c>
      <x:c r="I21" s="34" t="str">
        <x:v>PR 단위 결과 페이지 및 원본 PR 링크</x:v>
      </x:c>
      <x:c r="J21" s="34" t="str">
        <x:v>BACKEND-03, WEB-03</x:v>
      </x:c>
      <x:c r="K21" s="34" t="str">
        <x:v>시작 전</x:v>
      </x:c>
      <x:c r="L21" s="34" t="str">
        <x:v>P0</x:v>
      </x:c>
      <x:c r="M21" s="35" t="str">
        <x:v>PR 코멘트 링크로 정확한 결과 진입 및 PR 복귀</x:v>
      </x:c>
    </x:row>
    <x:row r="22" ht="42" customHeight="1">
      <x:c r="A22" s="31" t="n">
        <x:v>18</x:v>
      </x:c>
      <x:c r="B22" s="32" t="str">
        <x:v>INTEGRATION-01</x:v>
      </x:c>
      <x:c r="C22" s="32" t="str">
        <x:v>통합</x:v>
      </x:c>
      <x:c r="D22" s="32" t="str">
        <x:v>전원</x:v>
      </x:c>
      <x:c r="E22" s="32" t="str">
        <x:v>통합</x:v>
      </x:c>
      <x:c r="F22" s="32" t="str">
        <x:v>상</x:v>
      </x:c>
      <x:c r="G22" s="33" t="n">
        <x:v>4</x:v>
      </x:c>
      <x:c r="H22" s="34" t="str">
        <x:v>feature/integration-e2e-pipeline</x:v>
      </x:c>
      <x:c r="I22" s="34" t="str">
        <x:v>CLI·엔진·PR·웹 전체 통합</x:v>
      </x:c>
      <x:c r="J22" s="34" t="str">
        <x:v>CORE-04, BACKEND-05, WEB-05</x:v>
      </x:c>
      <x:c r="K22" s="34" t="str">
        <x:v>시작 전</x:v>
      </x:c>
      <x:c r="L22" s="34" t="str">
        <x:v>P0</x:v>
      </x:c>
      <x:c r="M22" s="35" t="str">
        <x:v>샘플 PR로 전체 흐름 성공 및 단계별 실패 확인</x:v>
      </x:c>
    </x:row>
    <x:row r="23" ht="42" customHeight="1">
      <x:c r="A23" s="31" t="n">
        <x:v>19</x:v>
      </x:c>
      <x:c r="B23" s="32" t="str">
        <x:v>RELEASE-01</x:v>
      </x:c>
      <x:c r="C23" s="32" t="str">
        <x:v>릴리즈</x:v>
      </x:c>
      <x:c r="D23" s="32" t="str">
        <x:v>전원</x:v>
      </x:c>
      <x:c r="E23" s="32" t="str">
        <x:v>릴리즈</x:v>
      </x:c>
      <x:c r="F23" s="32" t="str">
        <x:v>중</x:v>
      </x:c>
      <x:c r="G23" s="33" t="n">
        <x:v>2</x:v>
      </x:c>
      <x:c r="H23" s="34" t="str">
        <x:v>release/0.1.0</x:v>
      </x:c>
      <x:c r="I23" s="34" t="str">
        <x:v>버그 수정·문서화·MVP 릴리즈 검증</x:v>
      </x:c>
      <x:c r="J23" s="34" t="str">
        <x:v>INTEGRATION-01</x:v>
      </x:c>
      <x:c r="K23" s="34" t="str">
        <x:v>시작 전</x:v>
      </x:c>
      <x:c r="L23" s="34" t="str">
        <x:v>P0</x:v>
      </x:c>
      <x:c r="M23" s="35" t="str">
        <x:v>테스트·데모·설치 문서 확인 후 main/develop 병합</x:v>
      </x:c>
    </x:row>
  </x:sheetData>
  <x:mergeCells>
    <x:mergeCell ref="A1:M1"/>
    <x:mergeCell ref="A2:M2"/>
  </x:mergeCells>
  <x:conditionalFormatting sqref="F5:F23">
    <x:cfRule type="containsText" dxfId="0" priority="1" operator="containsText" text="상"/>
    <x:cfRule type="containsText" dxfId="1" priority="2" operator="containsText" text="중"/>
    <x:cfRule type="containsText" dxfId="2" priority="3" operator="containsText" text="하"/>
  </x:conditionalFormatting>
  <x:conditionalFormatting sqref="K5:K23">
    <x:cfRule type="containsText" dxfId="3" priority="4" operator="containsText" text="완료"/>
    <x:cfRule type="containsText" dxfId="4" priority="5" operator="containsText" text="진행 중"/>
  </x:conditionalFormatting>
  <x:dataValidations count="2">
    <x:dataValidation type="list" sqref="K5:K23">
      <x:formula1>"시작 전,진행 중,리뷰 중,완료,보류"</x:formula1>
    </x:dataValidation>
    <x:dataValidation type="list" sqref="L5:L2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fa8b8445d24e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34" hidden="0" customWidth="1"/>
    <x:col min="4" max="4" width="32" hidden="0" customWidth="1"/>
    <x:col min="5" max="5" width="34" hidden="0" customWidth="1"/>
    <x:col min="6" max="6" width="34" hidden="0" customWidth="1"/>
    <x:col min="7" max="7" width="42" hidden="0" customWidth="1"/>
    <x:col min="8" max="8" width="42" hidden="0" customWidth="1"/>
  </x:cols>
  <x:sheetData>
    <x:row r="1" ht="34" customHeight="1">
      <x:c r="A1" s="3" t="str">
        <x:v>기능 상세 명세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각 기능의 목적부터 실패 처리와 완료 조건까지 구현 기준을 한 행에 정리했습니다.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8" t="str">
        <x:v>ID</x:v>
      </x:c>
      <x:c r="B4" s="19" t="str">
        <x:v>기능</x:v>
      </x:c>
      <x:c r="C4" s="19" t="str">
        <x:v>목적</x:v>
      </x:c>
      <x:c r="D4" s="19" t="str">
        <x:v>입력</x:v>
      </x:c>
      <x:c r="E4" s="19" t="str">
        <x:v>처리</x:v>
      </x:c>
      <x:c r="F4" s="19" t="str">
        <x:v>출력</x:v>
      </x:c>
      <x:c r="G4" s="19" t="str">
        <x:v>실패·보안 처리</x:v>
      </x:c>
      <x:c r="H4" s="20" t="str">
        <x:v>완료 조건</x:v>
      </x:c>
    </x:row>
    <x:row r="5" ht="56" customHeight="1">
      <x:c r="A5" s="37" t="str">
        <x:v>COMMON-01</x:v>
      </x:c>
      <x:c r="B5" s="38" t="str">
        <x:v>분석 결과 JSON 스키마</x:v>
      </x:c>
      <x:c r="C5" s="38" t="str">
        <x:v>엔진·백엔드·웹의 공통 결과 계약 고정</x:v>
      </x:c>
      <x:c r="D5" s="38" t="str">
        <x:v>분석 실행 메타데이터와 finding</x:v>
      </x:c>
      <x:c r="E5" s="38" t="str">
        <x:v>스키마 검증</x:v>
      </x:c>
      <x:c r="F5" s="38" t="str">
        <x:v>JSON Schema, 정상·최소 fixture</x:v>
      </x:c>
      <x:c r="G5" s="38" t="str">
        <x:v>알 수 없는 값은 생략하거나 assumptions에 표시</x:v>
      </x:c>
      <x:c r="H5" s="39" t="str">
        <x:v>세 영역 fixture 호환 및 검증 테스트 통과</x:v>
      </x:c>
    </x:row>
    <x:row r="6" ht="56" customHeight="1">
      <x:c r="A6" s="37" t="str">
        <x:v>COMMON-02</x:v>
      </x:c>
      <x:c r="B6" s="38" t="str">
        <x:v>프로젝트 설정 스키마</x:v>
      </x:c>
      <x:c r="C6" s="38" t="str">
        <x:v>실제 키 없이 사용량 가정을 입력</x:v>
      </x:c>
      <x:c r="D6" s="38" t="str">
        <x:v>사용자·요청·사용량·통화·제외 경로</x:v>
      </x:c>
      <x:c r="E6" s="38" t="str">
        <x:v>유효성 검증과 기본값 적용</x:v>
      </x:c>
      <x:c r="F6" s="38" t="str">
        <x:v>설정 스키마와 예시</x:v>
      </x:c>
      <x:c r="G6" s="38" t="str">
        <x:v>API 키·환경변수 원문 저장 금지</x:v>
      </x:c>
      <x:c r="H6" s="39" t="str">
        <x:v>누락·음수·타입 오류를 탐지</x:v>
      </x:c>
    </x:row>
    <x:row r="7" ht="56" customHeight="1">
      <x:c r="A7" s="37" t="str">
        <x:v>COMMON-03</x:v>
      </x:c>
      <x:c r="B7" s="38" t="str">
        <x:v>서비스 단가 데이터 모델</x:v>
      </x:c>
      <x:c r="C7" s="38" t="str">
        <x:v>비용 계산식을 서비스 데이터와 분리</x:v>
      </x:c>
      <x:c r="D7" s="38" t="str">
        <x:v>제공자·서비스·단위·단가·통화·출처</x:v>
      </x:c>
      <x:c r="E7" s="38" t="str">
        <x:v>단가 데이터 조회</x:v>
      </x:c>
      <x:c r="F7" s="38" t="str">
        <x:v>단가 스키마와 샘플</x:v>
      </x:c>
      <x:c r="G7" s="38" t="str">
        <x:v>단가가 없거나 오래되면 낮은 신뢰도</x:v>
      </x:c>
      <x:c r="H7" s="39" t="str">
        <x:v>데이터 교체만으로 계산 재사용</x:v>
      </x:c>
    </x:row>
    <x:row r="8" ht="56" customHeight="1">
      <x:c r="A8" s="37" t="str">
        <x:v>CORE-01</x:v>
      </x:c>
      <x:c r="B8" s="38" t="str">
        <x:v>API 호출 위치 탐지</x:v>
      </x:c>
      <x:c r="C8" s="38" t="str">
        <x:v>비용 발생 가능 호출 후보 탐색</x:v>
      </x:c>
      <x:c r="D8" s="38" t="str">
        <x:v>소스 파일과 호출 규칙</x:v>
      </x:c>
      <x:c r="E8" s="38" t="str">
        <x:v>AST로 호출과 위치 탐지</x:v>
      </x:c>
      <x:c r="F8" s="38" t="str">
        <x:v>call-site 목록</x:v>
      </x:c>
      <x:c r="G8" s="38" t="str">
        <x:v>파싱 실패 파일만 오류 목록에 기록</x:v>
      </x:c>
      <x:c r="H8" s="39" t="str">
        <x:v>일반·내부·비동기 호출 fixture 통과</x:v>
      </x:c>
    </x:row>
    <x:row r="9" ht="56" customHeight="1">
      <x:c r="A9" s="37" t="str">
        <x:v>CORE-02</x:v>
      </x:c>
      <x:c r="B9" s="38" t="str">
        <x:v>반복·중첩 호출 배수</x:v>
      </x:c>
      <x:c r="C9" s="38" t="str">
        <x:v>호출이 실행될 가능 횟수 추정</x:v>
      </x:c>
      <x:c r="D9" s="38" t="str">
        <x:v>call-site와 AST 문맥</x:v>
      </x:c>
      <x:c r="E9" s="38" t="str">
        <x:v>반복문·중첩·재귀·콜백 판별</x:v>
      </x:c>
      <x:c r="F9" s="38" t="str">
        <x:v>배수·근거·불확실성</x:v>
      </x:c>
      <x:c r="G9" s="38" t="str">
        <x:v>정적 추정 불가 시 설정/기본 시나리오 사용</x:v>
      </x:c>
      <x:c r="H9" s="39" t="str">
        <x:v>네 가지 반복 fixture 통과</x:v>
      </x:c>
    </x:row>
    <x:row r="10" ht="56" customHeight="1">
      <x:c r="A10" s="37" t="str">
        <x:v>CORE-03</x:v>
      </x:c>
      <x:c r="B10" s="38" t="str">
        <x:v>예상 비용 계산</x:v>
      </x:c>
      <x:c r="C10" s="38" t="str">
        <x:v>시나리오 기준 월 예상 비용 계산</x:v>
      </x:c>
      <x:c r="D10" s="38" t="str">
        <x:v>call-site·배수·시나리오·단가</x:v>
      </x:c>
      <x:c r="E10" s="38" t="str">
        <x:v>사용자×요청×배수×사용량×단가</x:v>
      </x:c>
      <x:c r="F10" s="38" t="str">
        <x:v>항목별·전체 비용과 가정</x:v>
      </x:c>
      <x:c r="G10" s="38" t="str">
        <x:v>단가/사용량 누락 시 확정값 대신 필요한 입력 반환</x:v>
      </x:c>
      <x:c r="H10" s="39" t="str">
        <x:v>기대 비용·소수점·통화 테스트 통과</x:v>
      </x:c>
    </x:row>
    <x:row r="11" ht="56" customHeight="1">
      <x:c r="A11" s="37" t="str">
        <x:v>CORE-04</x:v>
      </x:c>
      <x:c r="B11" s="38" t="str">
        <x:v>위험도와 신뢰도</x:v>
      </x:c>
      <x:c r="C11" s="38" t="str">
        <x:v>비용 위험과 추정 확실성을 분리</x:v>
      </x:c>
      <x:c r="D11" s="38" t="str">
        <x:v>비용·반복 구조·가정 품질</x:v>
      </x:c>
      <x:c r="E11" s="38" t="str">
        <x:v>등급 기준 적용</x:v>
      </x:c>
      <x:c r="F11" s="38" t="str">
        <x:v>riskLevel·confidence·reason·suggestion</x:v>
      </x:c>
      <x:c r="G11" s="38" t="str">
        <x:v>근거 부족 시 낮은 신뢰도</x:v>
      </x:c>
      <x:c r="H11" s="39" t="str">
        <x:v>판정 기준 문서화 및 사례 테스트</x:v>
      </x:c>
    </x:row>
    <x:row r="12" ht="56" customHeight="1">
      <x:c r="A12" s="37" t="str">
        <x:v>BACKEND-01</x:v>
      </x:c>
      <x:c r="B12" s="38" t="str">
        <x:v>설정 파일 로더</x:v>
      </x:c>
      <x:c r="C12" s="38" t="str">
        <x:v>저장소 설정을 엔진 입력으로 변환</x:v>
      </x:c>
      <x:c r="D12" s="38" t="str">
        <x:v>프로젝트 설정 파일</x:v>
      </x:c>
      <x:c r="E12" s="38" t="str">
        <x:v>탐색·파싱·검증·기본값 적용</x:v>
      </x:c>
      <x:c r="F12" s="38" t="str">
        <x:v>정규화된 설정 객체</x:v>
      </x:c>
      <x:c r="G12" s="38" t="str">
        <x:v>민감값을 로그에 남기지 않음</x:v>
      </x:c>
      <x:c r="H12" s="39" t="str">
        <x:v>정상·오류 입력 테스트 통과</x:v>
      </x:c>
    </x:row>
    <x:row r="13" ht="56" customHeight="1">
      <x:c r="A13" s="37" t="str">
        <x:v>BACKEND-02</x:v>
      </x:c>
      <x:c r="B13" s="38" t="str">
        <x:v>CLI 분석 명령</x:v>
      </x:c>
      <x:c r="C13" s="38" t="str">
        <x:v>로컬에서 분석을 실행</x:v>
      </x:c>
      <x:c r="D13" s="38" t="str">
        <x:v>scan 명령·base sha·출력 형식</x:v>
      </x:c>
      <x:c r="E13" s="38" t="str">
        <x:v>파일 수집·제외·엔진 호출</x:v>
      </x:c>
      <x:c r="F13" s="38" t="str">
        <x:v>터미널 요약 또는 JSON</x:v>
      </x:c>
      <x:c r="G13" s="38" t="str">
        <x:v>설정 오류와 분석 오류 종료 코드 구분</x:v>
      </x:c>
      <x:c r="H13" s="39" t="str">
        <x:v>명령별 결과와 종료 코드 확인</x:v>
      </x:c>
    </x:row>
    <x:row r="14" ht="56" customHeight="1">
      <x:c r="A14" s="37" t="str">
        <x:v>BACKEND-03</x:v>
      </x:c>
      <x:c r="B14" s="38" t="str">
        <x:v>결과 저장 및 조회</x:v>
      </x:c>
      <x:c r="C14" s="38" t="str">
        <x:v>분석 결과를 웹과 PR에서 재사용</x:v>
      </x:c>
      <x:c r="D14" s="38" t="str">
        <x:v>공통 스키마 결과</x:v>
      </x:c>
      <x:c r="E14" s="38" t="str">
        <x:v>runId 발급·메타데이터 연결·저장</x:v>
      </x:c>
      <x:c r="F14" s="38" t="str">
        <x:v>조회 가능한 분석 결과</x:v>
      </x:c>
      <x:c r="G14" s="38" t="str">
        <x:v>저장 실패 원인을 구분해 반환</x:v>
      </x:c>
      <x:c r="H14" s="39" t="str">
        <x:v>왕복 저장 후 값 불변</x:v>
      </x:c>
    </x:row>
    <x:row r="15" ht="56" customHeight="1">
      <x:c r="A15" s="37" t="str">
        <x:v>WEB-01</x:v>
      </x:c>
      <x:c r="B15" s="38" t="str">
        <x:v>대시보드 기본 구조</x:v>
      </x:c>
      <x:c r="C15" s="38" t="str">
        <x:v>API 전에도 화면 구조를 개발</x:v>
      </x:c>
      <x:c r="D15" s="38" t="str">
        <x:v>COMMON-01 fixture</x:v>
      </x:c>
      <x:c r="E15" s="38" t="str">
        <x:v>목록과 상태 화면 렌더링</x:v>
      </x:c>
      <x:c r="F15" s="38" t="str">
        <x:v>대시보드 shell</x:v>
      </x:c>
      <x:c r="G15" s="38" t="str">
        <x:v>로딩·빈 결과·오류 상태 제공</x:v>
      </x:c>
      <x:c r="H15" s="39" t="str">
        <x:v>모바일·데스크톱 표시 확인</x:v>
      </x:c>
    </x:row>
    <x:row r="16" ht="56" customHeight="1">
      <x:c r="A16" s="37" t="str">
        <x:v>WEB-02</x:v>
      </x:c>
      <x:c r="B16" s="38" t="str">
        <x:v>분석 요약 화면</x:v>
      </x:c>
      <x:c r="C16" s="38" t="str">
        <x:v>가장 중요한 비용 위험을 빠르게 전달</x:v>
      </x:c>
      <x:c r="D16" s="38" t="str">
        <x:v>저장된 분석 결과</x:v>
      </x:c>
      <x:c r="E16" s="38" t="str">
        <x:v>요약·정렬·상태 처리</x:v>
      </x:c>
      <x:c r="F16" s="38" t="str">
        <x:v>비용·증감·위험 건수·가정</x:v>
      </x:c>
      <x:c r="G16" s="38" t="str">
        <x:v>데이터 누락 항목을 안전하게 표시</x:v>
      </x:c>
      <x:c r="H16" s="39" t="str">
        <x:v>고위험 우선 및 모든 상태 처리</x:v>
      </x:c>
    </x:row>
    <x:row r="17" ht="56" customHeight="1">
      <x:c r="A17" s="37" t="str">
        <x:v>WEB-03</x:v>
      </x:c>
      <x:c r="B17" s="38" t="str">
        <x:v>위험 항목 상세</x:v>
      </x:c>
      <x:c r="C17" s="38" t="str">
        <x:v>비용 산출 근거를 설명</x:v>
      </x:c>
      <x:c r="D17" s="38" t="str">
        <x:v>개별 finding</x:v>
      </x:c>
      <x:c r="E17" s="38" t="str">
        <x:v>필드별 근거 구성</x:v>
      </x:c>
      <x:c r="F17" s="38" t="str">
        <x:v>위치·서비스·배수·계산식·제안</x:v>
      </x:c>
      <x:c r="G17" s="38" t="str">
        <x:v>위치/값 누락을 가정으로 표시</x:v>
      </x:c>
      <x:c r="H17" s="39" t="str">
        <x:v>금액을 소스 위치까지 역추적</x:v>
      </x:c>
    </x:row>
    <x:row r="18" ht="56" customHeight="1">
      <x:c r="A18" s="37" t="str">
        <x:v>WEB-04</x:v>
      </x:c>
      <x:c r="B18" s="38" t="str">
        <x:v>시나리오 비교</x:v>
      </x:c>
      <x:c r="C18" s="38" t="str">
        <x:v>사용량 변화에 따른 예상 비용 비교</x:v>
      </x:c>
      <x:c r="D18" s="38" t="str">
        <x:v>사용자·요청·호출당 사용량</x:v>
      </x:c>
      <x:c r="E18" s="38" t="str">
        <x:v>기본·낙관·보수 재계산</x:v>
      </x:c>
      <x:c r="F18" s="38" t="str">
        <x:v>시나리오별 비용</x:v>
      </x:c>
      <x:c r="G18" s="38" t="str">
        <x:v>실제 청구액이 아닌 예상치임을 명시</x:v>
      </x:c>
      <x:c r="H18" s="39" t="str">
        <x:v>엔진과 웹 계산 일치</x:v>
      </x:c>
    </x:row>
    <x:row r="19" ht="56" customHeight="1">
      <x:c r="A19" s="37" t="str">
        <x:v>BACKEND-04</x:v>
      </x:c>
      <x:c r="B19" s="38" t="str">
        <x:v>GitHub Action 실행</x:v>
      </x:c>
      <x:c r="C19" s="38" t="str">
        <x:v>PR 변경 코드 자동 분석</x:v>
      </x:c>
      <x:c r="D19" s="38" t="str">
        <x:v>PR 이벤트와 변경 파일</x:v>
      </x:c>
      <x:c r="E19" s="38" t="str">
        <x:v>수집·분석·저장</x:v>
      </x:c>
      <x:c r="F19" s="38" t="str">
        <x:v>Action 상태와 runId</x:v>
      </x:c>
      <x:c r="G19" s="38" t="str">
        <x:v>단계별 실패 이유를 로그로 제공</x:v>
      </x:c>
      <x:c r="H19" s="39" t="str">
        <x:v>샘플 PR 변경 파일만 분석</x:v>
      </x:c>
    </x:row>
    <x:row r="20" ht="56" customHeight="1">
      <x:c r="A20" s="37" t="str">
        <x:v>BACKEND-05</x:v>
      </x:c>
      <x:c r="B20" s="38" t="str">
        <x:v>PR 코멘트</x:v>
      </x:c>
      <x:c r="C20" s="38" t="str">
        <x:v>PR에서 핵심 비용 위험을 요약</x:v>
      </x:c>
      <x:c r="D20" s="38" t="str">
        <x:v>분석 결과와 대시보드 URL</x:v>
      </x:c>
      <x:c r="E20" s="38" t="str">
        <x:v>요약 생성·기존 봇 코멘트 갱신</x:v>
      </x:c>
      <x:c r="F20" s="38" t="str">
        <x:v>비용·증감·최고 위험·신뢰도·링크</x:v>
      </x:c>
      <x:c r="G20" s="38" t="str">
        <x:v>민감 설정과 상세 비용은 제외</x:v>
      </x:c>
      <x:c r="H20" s="39" t="str">
        <x:v>중복 코멘트 없이 runId 연결</x:v>
      </x:c>
    </x:row>
    <x:row r="21" ht="56" customHeight="1">
      <x:c r="A21" s="37" t="str">
        <x:v>WEB-05</x:v>
      </x:c>
      <x:c r="B21" s="38" t="str">
        <x:v>PR 분석 결과 페이지</x:v>
      </x:c>
      <x:c r="C21" s="38" t="str">
        <x:v>코멘트에서 상세 분석으로 연결</x:v>
      </x:c>
      <x:c r="D21" s="38" t="str">
        <x:v>runId</x:v>
      </x:c>
      <x:c r="E21" s="38" t="str">
        <x:v>결과 조회와 권한별 표시</x:v>
      </x:c>
      <x:c r="F21" s="38" t="str">
        <x:v>PR 메타데이터·요약·상세·원본 링크</x:v>
      </x:c>
      <x:c r="G21" s="38" t="str">
        <x:v>공개 요약과 인증 상세를 분리</x:v>
      </x:c>
      <x:c r="H21" s="39" t="str">
        <x:v>정확한 분석 결과 및 원본 PR 이동</x:v>
      </x:c>
    </x:row>
    <x:row r="22" ht="56" customHeight="1">
      <x:c r="A22" s="37" t="str">
        <x:v>INTEGRATION-01</x:v>
      </x:c>
      <x:c r="B22" s="38" t="str">
        <x:v>전체 파이프라인</x:v>
      </x:c>
      <x:c r="C22" s="38" t="str">
        <x:v>모든 구성 요소의 실제 흐름 검증</x:v>
      </x:c>
      <x:c r="D22" s="38" t="str">
        <x:v>샘플 PR push</x:v>
      </x:c>
      <x:c r="E22" s="38" t="str">
        <x:v>Action→엔진→저장→코멘트→웹</x:v>
      </x:c>
      <x:c r="F22" s="38" t="str">
        <x:v>일관된 runId와 비용 결과</x:v>
      </x:c>
      <x:c r="G22" s="38" t="str">
        <x:v>실패한 단계를 식별 가능하게 함</x:v>
      </x:c>
      <x:c r="H22" s="39" t="str">
        <x:v>샘플 PR E2E 성공</x:v>
      </x:c>
    </x:row>
    <x:row r="23" ht="56" customHeight="1">
      <x:c r="A23" s="37" t="str">
        <x:v>RELEASE-01</x:v>
      </x:c>
      <x:c r="B23" s="38" t="str">
        <x:v>MVP 릴리즈</x:v>
      </x:c>
      <x:c r="C23" s="38" t="str">
        <x:v>0.1.0 배포 가능 상태 확정</x:v>
      </x:c>
      <x:c r="D23" s="38" t="str">
        <x:v>통합 완료 develop</x:v>
      </x:c>
      <x:c r="E23" s="38" t="str">
        <x:v>버그·문서·환경·테스트 안정화</x:v>
      </x:c>
      <x:c r="F23" s="38" t="str">
        <x:v>release/0.1.0</x:v>
      </x:c>
      <x:c r="G23" s="38" t="str">
        <x:v>새 기능과 큰 스키마 변경 금지</x:v>
      </x:c>
      <x:c r="H23" s="39" t="str">
        <x:v>테스트·데모·문서 확인 후 병합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2fdb742de384f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6" hidden="0" customWidth="1"/>
    <x:col min="4" max="4" width="42" hidden="0" customWidth="1"/>
    <x:col min="5" max="5" width="42" hidden="0" customWidth="1"/>
  </x:cols>
  <x:sheetData>
    <x:row r="1" ht="34" customHeight="1">
      <x:c r="A1" s="3" t="str">
        <x:v>스프린트별 개발 순서</x:v>
      </x:c>
      <x:c r="B1" s="3"/>
      <x:c r="C1" s="3"/>
      <x:c r="D1" s="3"/>
      <x:c r="E1" s="3"/>
    </x:row>
    <x:row r="2" ht="24" customHeight="1">
      <x:c r="A2" s="6" t="str">
        <x:v>선행 기능이 충족되면 같은 Sprint 안에서 담당자별 작업을 병렬로 진행합니다.</x:v>
      </x:c>
      <x:c r="B2" s="6"/>
      <x:c r="C2" s="6"/>
      <x:c r="D2" s="6"/>
      <x:c r="E2" s="6"/>
    </x:row>
    <x:row r="4" ht="30" customHeight="1">
      <x:c r="A4" s="18" t="str">
        <x:v>스프린트</x:v>
      </x:c>
      <x:c r="B4" s="19" t="str">
        <x:v>실행 순서</x:v>
      </x:c>
      <x:c r="C4" s="19" t="str">
        <x:v>담당</x:v>
      </x:c>
      <x:c r="D4" s="19" t="str">
        <x:v>기능 ID / 작업</x:v>
      </x:c>
      <x:c r="E4" s="20" t="str">
        <x:v>스프린트 산출물</x:v>
      </x:c>
    </x:row>
    <x:row r="5" ht="38" customHeight="1">
      <x:c r="A5" s="40" t="str">
        <x:v>Sprint 1</x:v>
      </x:c>
      <x:c r="B5" s="34" t="n">
        <x:v>1</x:v>
      </x:c>
      <x:c r="C5" s="34" t="str">
        <x:v>전원</x:v>
      </x:c>
      <x:c r="D5" s="34" t="str">
        <x:v>COMMON-01, COMMON-02, COMMON-03</x:v>
      </x:c>
      <x:c r="E5" s="35" t="str">
        <x:v>결과·설정·단가 계약 확정</x:v>
      </x:c>
    </x:row>
    <x:row r="6" ht="38" customHeight="1">
      <x:c r="A6" s="40" t="str">
        <x:v>Sprint 1</x:v>
      </x:c>
      <x:c r="B6" s="34" t="n">
        <x:v>2</x:v>
      </x:c>
      <x:c r="C6" s="34" t="str">
        <x:v>가영</x:v>
      </x:c>
      <x:c r="D6" s="34" t="str">
        <x:v>CORE-01 시작</x:v>
      </x:c>
      <x:c r="E6" s="35" t="str">
        <x:v>API 호출 탐지 기반</x:v>
      </x:c>
    </x:row>
    <x:row r="7" ht="38" customHeight="1">
      <x:c r="A7" s="40" t="str">
        <x:v>Sprint 1</x:v>
      </x:c>
      <x:c r="B7" s="34" t="n">
        <x:v>3</x:v>
      </x:c>
      <x:c r="C7" s="34" t="str">
        <x:v>예은</x:v>
      </x:c>
      <x:c r="D7" s="34" t="str">
        <x:v>WEB-01</x:v>
      </x:c>
      <x:c r="E7" s="35" t="str">
        <x:v>fixture 기반 대시보드 구조</x:v>
      </x:c>
    </x:row>
    <x:row r="8" ht="38" customHeight="1">
      <x:c r="A8" s="40" t="str">
        <x:v>Sprint 2</x:v>
      </x:c>
      <x:c r="B8" s="34" t="n">
        <x:v>4</x:v>
      </x:c>
      <x:c r="C8" s="34" t="str">
        <x:v>가영</x:v>
      </x:c>
      <x:c r="D8" s="34" t="str">
        <x:v>CORE-02, CORE-03, CORE-04</x:v>
      </x:c>
      <x:c r="E8" s="35" t="str">
        <x:v>분석과 비용 계산 엔진 완성</x:v>
      </x:c>
    </x:row>
    <x:row r="9" ht="38" customHeight="1">
      <x:c r="A9" s="40" t="str">
        <x:v>Sprint 2</x:v>
      </x:c>
      <x:c r="B9" s="34" t="n">
        <x:v>5</x:v>
      </x:c>
      <x:c r="C9" s="34" t="str">
        <x:v>은지</x:v>
      </x:c>
      <x:c r="D9" s="34" t="str">
        <x:v>BACKEND-01, BACKEND-02</x:v>
      </x:c>
      <x:c r="E9" s="35" t="str">
        <x:v>설정 로더와 CLI</x:v>
      </x:c>
    </x:row>
    <x:row r="10" ht="38" customHeight="1">
      <x:c r="A10" s="40" t="str">
        <x:v>Sprint 2</x:v>
      </x:c>
      <x:c r="B10" s="34" t="n">
        <x:v>6</x:v>
      </x:c>
      <x:c r="C10" s="34" t="str">
        <x:v>예은</x:v>
      </x:c>
      <x:c r="D10" s="34" t="str">
        <x:v>WEB-02, WEB-03</x:v>
      </x:c>
      <x:c r="E10" s="35" t="str">
        <x:v>fixture 기반 요약·상세 화면</x:v>
      </x:c>
    </x:row>
    <x:row r="11" ht="38" customHeight="1">
      <x:c r="A11" s="40" t="str">
        <x:v>Sprint 3</x:v>
      </x:c>
      <x:c r="B11" s="34" t="n">
        <x:v>7</x:v>
      </x:c>
      <x:c r="C11" s="34" t="str">
        <x:v>은지</x:v>
      </x:c>
      <x:c r="D11" s="34" t="str">
        <x:v>BACKEND-03, BACKEND-04</x:v>
      </x:c>
      <x:c r="E11" s="35" t="str">
        <x:v>결과 저장과 GitHub Action</x:v>
      </x:c>
    </x:row>
    <x:row r="12" ht="38" customHeight="1">
      <x:c r="A12" s="40" t="str">
        <x:v>Sprint 3</x:v>
      </x:c>
      <x:c r="B12" s="34" t="n">
        <x:v>8</x:v>
      </x:c>
      <x:c r="C12" s="34" t="str">
        <x:v>예은</x:v>
      </x:c>
      <x:c r="D12" s="34" t="str">
        <x:v>WEB-04, WEB-05</x:v>
      </x:c>
      <x:c r="E12" s="35" t="str">
        <x:v>시나리오와 PR 상세 페이지</x:v>
      </x:c>
    </x:row>
    <x:row r="13" ht="38" customHeight="1">
      <x:c r="A13" s="40" t="str">
        <x:v>Sprint 3</x:v>
      </x:c>
      <x:c r="B13" s="34" t="n">
        <x:v>9</x:v>
      </x:c>
      <x:c r="C13" s="34" t="str">
        <x:v>전원</x:v>
      </x:c>
      <x:c r="D13" s="34" t="str">
        <x:v>실제 저장 결과로 fixture 교체</x:v>
      </x:c>
      <x:c r="E13" s="35" t="str">
        <x:v>백엔드·웹 데이터 연결</x:v>
      </x:c>
    </x:row>
    <x:row r="14" ht="38" customHeight="1">
      <x:c r="A14" s="40" t="str">
        <x:v>Sprint 4</x:v>
      </x:c>
      <x:c r="B14" s="34" t="n">
        <x:v>10</x:v>
      </x:c>
      <x:c r="C14" s="34" t="str">
        <x:v>은지</x:v>
      </x:c>
      <x:c r="D14" s="34" t="str">
        <x:v>BACKEND-05</x:v>
      </x:c>
      <x:c r="E14" s="35" t="str">
        <x:v>PR 코멘트와 대시보드 링크</x:v>
      </x:c>
    </x:row>
    <x:row r="15" ht="38" customHeight="1">
      <x:c r="A15" s="40" t="str">
        <x:v>Sprint 4</x:v>
      </x:c>
      <x:c r="B15" s="34" t="n">
        <x:v>11</x:v>
      </x:c>
      <x:c r="C15" s="34" t="str">
        <x:v>전원</x:v>
      </x:c>
      <x:c r="D15" s="34" t="str">
        <x:v>INTEGRATION-01</x:v>
      </x:c>
      <x:c r="E15" s="35" t="str">
        <x:v>전체 파이프라인 검증</x:v>
      </x:c>
    </x:row>
    <x:row r="16" ht="38" customHeight="1">
      <x:c r="A16" s="40" t="str">
        <x:v>Sprint 4</x:v>
      </x:c>
      <x:c r="B16" s="34" t="n">
        <x:v>12</x:v>
      </x:c>
      <x:c r="C16" s="34" t="str">
        <x:v>전원</x:v>
      </x:c>
      <x:c r="D16" s="34" t="str">
        <x:v>RELEASE-01</x:v>
      </x:c>
      <x:c r="E16" s="35" t="str">
        <x:v>MVP 0.1.0 릴리즈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ac3738358ba4c92"/>
  </x:tableParts>
</x:worksheet>
</file>